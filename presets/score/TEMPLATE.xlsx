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'List'!$A$1:$N$4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14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6C63FF"/>
      </patternFill>
    </fill>
    <fill>
      <patternFill patternType="solid">
        <fgColor rgb="00627ACB"/>
      </patternFill>
    </fill>
    <fill>
      <patternFill patternType="solid">
        <fgColor rgb="00599196"/>
      </patternFill>
    </fill>
    <fill>
      <patternFill patternType="solid">
        <fgColor rgb="004FA761"/>
      </patternFill>
    </fill>
    <fill>
      <patternFill patternType="solid">
        <fgColor rgb="0070B341"/>
      </patternFill>
    </fill>
    <fill>
      <patternFill patternType="solid">
        <fgColor rgb="00A6B82C"/>
      </patternFill>
    </fill>
    <fill>
      <patternFill patternType="solid">
        <fgColor rgb="00DBBD16"/>
      </patternFill>
    </fill>
    <fill>
      <patternFill patternType="solid">
        <fgColor rgb="00F8B009"/>
      </patternFill>
    </fill>
    <fill>
      <patternFill patternType="solid">
        <fgColor rgb="00E27F0F"/>
      </patternFill>
    </fill>
    <fill>
      <patternFill patternType="solid">
        <fgColor rgb="00CD4E16"/>
      </patternFill>
    </fill>
    <fill>
      <patternFill patternType="solid">
        <fgColor rgb="00B71C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'Stats'!$A$5:$A$15</f>
            </numRef>
          </cat>
          <val>
            <numRef>
              <f>'Stats'!$B$5:$B$15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58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  <col width="58" customWidth="1" min="14" max="14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Driver</t>
        </is>
      </c>
      <c r="E1" s="1" t="inlineStr">
        <is>
          <t>Style</t>
        </is>
      </c>
      <c r="F1" s="1" t="inlineStr">
        <is>
          <t>Tags</t>
        </is>
      </c>
      <c r="G1" s="1" t="inlineStr">
        <is>
          <t>Comment</t>
        </is>
      </c>
      <c r="H1" s="1" t="inlineStr">
        <is>
          <t>Pros</t>
        </is>
      </c>
      <c r="I1" s="1" t="inlineStr">
        <is>
          <t>Cons</t>
        </is>
      </c>
      <c r="J1" s="1" t="inlineStr">
        <is>
          <t>Notes</t>
        </is>
      </c>
      <c r="K1" s="1" t="inlineStr">
        <is>
          <t>Comment_KR</t>
        </is>
      </c>
      <c r="L1" s="1" t="inlineStr">
        <is>
          <t>Pros_KR</t>
        </is>
      </c>
      <c r="M1" s="1" t="inlineStr">
        <is>
          <t>Cons_KR</t>
        </is>
      </c>
      <c r="N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n">
        <v>10</v>
      </c>
      <c r="D2" t="inlineStr">
        <is>
          <t>Hybrid</t>
        </is>
      </c>
      <c r="E2" t="inlineStr">
        <is>
          <t>IEM</t>
        </is>
      </c>
      <c r="F2" t="inlineStr">
        <is>
          <t>Personal Collection, Reference</t>
        </is>
      </c>
      <c r="G2" s="2" t="inlineStr">
        <is>
          <t>Reference sound with a neutral tilt.</t>
        </is>
      </c>
      <c r="H2" s="2" t="inlineStr">
        <is>
          <t>Even tonality
Excellent detail retrieval</t>
        </is>
      </c>
      <c r="I2" s="2" t="inlineStr">
        <is>
          <t>Fit may be shallow for small ears</t>
        </is>
      </c>
      <c r="J2" s="2" t="inlineStr">
        <is>
          <t>Measured with a stock silicone tip.</t>
        </is>
      </c>
      <c r="K2" s="2" t="inlineStr">
        <is>
          <t>레퍼런스 사운드에 가까운 중립적인 튜닝.</t>
        </is>
      </c>
      <c r="L2" s="2" t="inlineStr">
        <is>
          <t>고른 음색
뛰어난 디테일</t>
        </is>
      </c>
      <c r="M2" s="2" t="inlineStr">
        <is>
          <t>귀가 작으면 착용감이 얕을 수 있음</t>
        </is>
      </c>
      <c r="N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n">
        <v>8.6</v>
      </c>
      <c r="D3" t="inlineStr">
        <is>
          <t>Hybrid</t>
        </is>
      </c>
      <c r="E3" t="inlineStr">
        <is>
          <t>IEM</t>
        </is>
      </c>
      <c r="F3" t="inlineStr">
        <is>
          <t>Budget</t>
        </is>
      </c>
      <c r="G3" s="2" t="inlineStr">
        <is>
          <t>Warm and forgiving.</t>
        </is>
      </c>
      <c r="H3" s="2" t="inlineStr">
        <is>
          <t>Smooth treble</t>
        </is>
      </c>
      <c r="I3" s="2" t="inlineStr">
        <is>
          <t>Soft sub-bass</t>
        </is>
      </c>
      <c r="J3" s="2" t="n"/>
      <c r="K3" s="2" t="inlineStr">
        <is>
          <t>따뜻하고 편안한 소리.</t>
        </is>
      </c>
      <c r="L3" s="2" t="inlineStr">
        <is>
          <t>부드러운 고음</t>
        </is>
      </c>
      <c r="M3" s="2" t="inlineStr">
        <is>
          <t>서브베이스가 약함</t>
        </is>
      </c>
      <c r="N3" s="2" t="n"/>
    </row>
    <row r="4">
      <c r="A4" t="inlineStr">
        <is>
          <t>LX</t>
        </is>
      </c>
      <c r="B4" t="inlineStr">
        <is>
          <t>Whatever</t>
        </is>
      </c>
      <c r="C4" t="n">
        <v>1</v>
      </c>
      <c r="D4" t="inlineStr">
        <is>
          <t>Hybrid</t>
        </is>
      </c>
      <c r="E4" t="inlineStr">
        <is>
          <t>IEM</t>
        </is>
      </c>
      <c r="G4" s="2" t="inlineStr">
        <is>
          <t>Not recommended.</t>
        </is>
      </c>
      <c r="H4" s="2" t="n"/>
      <c r="I4" s="2" t="inlineStr">
        <is>
          <t>Peaky upper midrange
Poor build quality</t>
        </is>
      </c>
      <c r="J4" s="2" t="n"/>
      <c r="K4" s="2" t="inlineStr">
        <is>
          <t>추천하지 않습니다.</t>
        </is>
      </c>
      <c r="L4" s="2" t="n"/>
      <c r="M4" s="2" t="inlineStr">
        <is>
          <t>중고음 피크
낮은 빌드 품질</t>
        </is>
      </c>
      <c r="N4" s="2" t="n"/>
    </row>
  </sheetData>
  <autoFilter ref="A1:N4"/>
  <conditionalFormatting sqref="C2:C1000">
    <cfRule type="colorScale" priority="1">
      <colorScale>
        <cfvo type="num" val="0"/>
        <cfvo type="num" val="5"/>
        <cfvo type="num" val="10"/>
        <color rgb="00B71C1C"/>
        <color rgb="00FFC107"/>
        <color rgb="006C63FF"/>
      </colorScale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"10,9,8,7,6,5,4,3,2,1,0"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Score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n">
        <v>10</v>
      </c>
      <c r="B4" t="n">
        <v>10</v>
      </c>
      <c r="C4" s="6" t="inlineStr">
        <is>
          <t>#6c63ff</t>
        </is>
      </c>
    </row>
    <row r="5">
      <c r="A5" t="n">
        <v>9</v>
      </c>
      <c r="B5" t="n">
        <v>9</v>
      </c>
      <c r="C5" s="7" t="inlineStr">
        <is>
          <t>#627acb</t>
        </is>
      </c>
    </row>
    <row r="6">
      <c r="A6" t="n">
        <v>8</v>
      </c>
      <c r="B6" t="n">
        <v>8</v>
      </c>
      <c r="C6" s="8" t="inlineStr">
        <is>
          <t>#599196</t>
        </is>
      </c>
    </row>
    <row r="7">
      <c r="A7" t="n">
        <v>7</v>
      </c>
      <c r="B7" t="n">
        <v>7</v>
      </c>
      <c r="C7" s="9" t="inlineStr">
        <is>
          <t>#4fa761</t>
        </is>
      </c>
    </row>
    <row r="8">
      <c r="A8" t="n">
        <v>6</v>
      </c>
      <c r="B8" t="n">
        <v>6</v>
      </c>
      <c r="C8" s="10" t="inlineStr">
        <is>
          <t>#70b341</t>
        </is>
      </c>
    </row>
    <row r="9">
      <c r="A9" t="n">
        <v>5</v>
      </c>
      <c r="B9" t="n">
        <v>5</v>
      </c>
      <c r="C9" s="11" t="inlineStr">
        <is>
          <t>#a6b82c</t>
        </is>
      </c>
    </row>
    <row r="10">
      <c r="A10" t="n">
        <v>4</v>
      </c>
      <c r="B10" t="n">
        <v>4</v>
      </c>
      <c r="C10" s="12" t="inlineStr">
        <is>
          <t>#dbbd16</t>
        </is>
      </c>
    </row>
    <row r="11">
      <c r="A11" t="n">
        <v>3</v>
      </c>
      <c r="B11" t="n">
        <v>3</v>
      </c>
      <c r="C11" s="13" t="inlineStr">
        <is>
          <t>#f8b009</t>
        </is>
      </c>
    </row>
    <row r="12">
      <c r="A12" t="n">
        <v>2</v>
      </c>
      <c r="B12" t="n">
        <v>2</v>
      </c>
      <c r="C12" s="14" t="inlineStr">
        <is>
          <t>#e27f0f</t>
        </is>
      </c>
    </row>
    <row r="13">
      <c r="A13" t="n">
        <v>1</v>
      </c>
      <c r="B13" t="n">
        <v>1</v>
      </c>
      <c r="C13" s="15" t="inlineStr">
        <is>
          <t>#cd4e16</t>
        </is>
      </c>
    </row>
    <row r="14">
      <c r="A14" t="n">
        <v>0</v>
      </c>
      <c r="B14" t="n">
        <v>0</v>
      </c>
      <c r="C14" s="16" t="inlineStr">
        <is>
          <t>#b71c1c</t>
        </is>
      </c>
    </row>
    <row r="16">
      <c r="A16" s="3" t="inlineStr">
        <is>
          <t>How to write a review</t>
        </is>
      </c>
    </row>
    <row r="17"/>
    <row r="18">
      <c r="A18" t="inlineStr">
        <is>
          <t>Every part of a review has its own column. There is no markup to learn:</t>
        </is>
      </c>
    </row>
    <row r="19">
      <c r="A19" t="inlineStr">
        <is>
          <t>type into the column you want and leave the rest blank.</t>
        </is>
      </c>
    </row>
    <row r="20"/>
    <row r="21">
      <c r="A21" t="inlineStr">
        <is>
          <t>Brand — Maker. Half of the card heading.</t>
        </is>
      </c>
    </row>
    <row r="22">
      <c r="A22" t="inlineStr">
        <is>
          <t>Model — Model name. The other half.</t>
        </is>
      </c>
    </row>
    <row r="23">
      <c r="A23" t="inlineStr">
        <is>
          <t>Rank — One of the values in the scale table above.</t>
        </is>
      </c>
    </row>
    <row r="24">
      <c r="A24" t="inlineStr">
        <is>
          <t>Driver — Hybrid, DD, BA, planar. Becomes a chip and a filter.</t>
        </is>
      </c>
    </row>
    <row r="25">
      <c r="A25" t="inlineStr">
        <is>
          <t>Style — Open, closed, IEM, earbud. Becomes a chip and a filter.</t>
        </is>
      </c>
    </row>
    <row r="26">
      <c r="A26" t="inlineStr">
        <is>
          <t>Tags — Comma separated. Shown as pills, and searchable.</t>
        </is>
      </c>
    </row>
    <row r="27">
      <c r="A27" t="inlineStr">
        <is>
          <t>Comment — The main paragraph.</t>
        </is>
      </c>
    </row>
    <row r="28">
      <c r="A28" t="inlineStr">
        <is>
          <t>Pros — A green block. Alt+Enter for one point per line.</t>
        </is>
      </c>
    </row>
    <row r="29">
      <c r="A29" t="inlineStr">
        <is>
          <t>Cons — A red block. Alt+Enter for one point per line.</t>
        </is>
      </c>
    </row>
    <row r="30">
      <c r="A30" t="inlineStr">
        <is>
          <t>Notes — A muted block, for caveats and measurement remarks.</t>
        </is>
      </c>
    </row>
    <row r="31">
      <c r="A31" t="inlineStr">
        <is>
          <t>Comment_KR — Korean text for Comment. Blank falls back to English.</t>
        </is>
      </c>
    </row>
    <row r="32">
      <c r="A32" t="inlineStr">
        <is>
          <t>Pros_KR — Korean text for Pros. Blank falls back to English.</t>
        </is>
      </c>
    </row>
    <row r="33">
      <c r="A33" t="inlineStr">
        <is>
          <t>Cons_KR — Korean text for Cons. Blank falls back to English.</t>
        </is>
      </c>
    </row>
    <row r="34">
      <c r="A34" t="inlineStr">
        <is>
          <t>Notes_KR — Korean text for Notes. Blank falls back to English.</t>
        </is>
      </c>
    </row>
    <row r="35"/>
    <row r="36">
      <c r="A36" t="inlineStr">
        <is>
          <t>Line breaks inside a cell are kept. Use Alt+Enter (Option+Enter on a Mac).</t>
        </is>
      </c>
    </row>
    <row r="37"/>
    <row r="38">
      <c r="A38" s="3" t="inlineStr">
        <is>
          <t>Publishing this sheet for the page</t>
        </is>
      </c>
    </row>
    <row r="39"/>
    <row r="40">
      <c r="A40" t="inlineStr">
        <is>
          <t>1. File - Share - Publish to web</t>
        </is>
      </c>
    </row>
    <row r="41">
      <c r="A41" t="inlineStr">
        <is>
          <t>2. In the Link tab, choose this sheet and 'Comma-separated values (.csv)'</t>
        </is>
      </c>
    </row>
    <row r="42">
      <c r="A42" t="inlineStr">
        <is>
          <t>3. Publish, then copy the URL it gives you</t>
        </is>
      </c>
    </row>
    <row r="43">
      <c r="A43" t="inlineStr">
        <is>
          <t>4. Paste it into ranking-config.js as source.url</t>
        </is>
      </c>
    </row>
    <row r="44"/>
    <row r="45">
      <c r="A45" t="inlineStr">
        <is>
          <t>Do not rename the header row: ranking-config.js looks the columns up by name.</t>
        </is>
      </c>
    </row>
    <row r="46"/>
    <row r="47">
      <c r="A47" t="inlineStr">
        <is>
          <t>Full guide: https://potatosalad775.github.io/squigRanking/docs/setup/your-sheet/</t>
        </is>
      </c>
    </row>
    <row r="48">
      <c r="A48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Score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5">
      <c r="A15">
        <f>Guide!A14</f>
        <v/>
      </c>
      <c r="B15">
        <f>COUNTIF(List!$C$2:$C$1000,A15)</f>
        <v/>
      </c>
    </row>
    <row r="17">
      <c r="A17" s="17" t="inlineStr">
        <is>
          <t>Total</t>
        </is>
      </c>
      <c r="B17" s="17">
        <f>SUM(B5:B15)</f>
        <v/>
      </c>
    </row>
    <row r="18">
      <c r="A18" s="17" t="inlineStr">
        <is>
          <t>Average</t>
        </is>
      </c>
      <c r="B18" s="17">
        <f>IFERROR(SUMPRODUCT(B5:B15,Guide!B4:B14)/SUM(B5:B15),"")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2026-09-09T05:53:02Z</dcterms:created>
  <dcterms:modified xsi:type="dcterms:W3CDTF">2026-09-09T05:53:02Z</dcterms:modified>
</cp:coreProperties>
</file>