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  <sheet name="Guide" sheetId="2" state="visible" r:id="rId2"/>
    <sheet name="Stats" sheetId="3" state="visible" r:id="rId3"/>
  </sheets>
  <definedNames>
    <definedName name="_xlnm._FilterDatabase" localSheetId="0" hidden="1">'List'!$A$1:$N$4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i val="1"/>
      <color rgb="00666666"/>
    </font>
    <font>
      <b val="1"/>
    </font>
  </fonts>
  <fills count="13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6C63FF"/>
      </patternFill>
    </fill>
    <fill>
      <patternFill patternType="solid">
        <fgColor rgb="0000BFAE"/>
      </patternFill>
    </fill>
    <fill>
      <patternFill patternType="solid">
        <fgColor rgb="0000BFFF"/>
      </patternFill>
    </fill>
    <fill>
      <patternFill patternType="solid">
        <fgColor rgb="004CAF50"/>
      </patternFill>
    </fill>
    <fill>
      <patternFill patternType="solid">
        <fgColor rgb="008BC34A"/>
      </patternFill>
    </fill>
    <fill>
      <patternFill patternType="solid">
        <fgColor rgb="00FFB347"/>
      </patternFill>
    </fill>
    <fill>
      <patternFill patternType="solid">
        <fgColor rgb="00FFC107"/>
      </patternFill>
    </fill>
    <fill>
      <patternFill patternType="solid">
        <fgColor rgb="00FF9800"/>
      </patternFill>
    </fill>
    <fill>
      <patternFill patternType="solid">
        <fgColor rgb="00FF5722"/>
      </patternFill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0">
    <dxf>
      <font>
        <b val="1"/>
        <color rgb="00FFFFFF"/>
      </font>
      <fill>
        <patternFill patternType="solid">
          <fgColor rgb="006C63FF"/>
        </patternFill>
      </fill>
    </dxf>
    <dxf>
      <font>
        <b val="1"/>
        <color rgb="00FFFFFF"/>
      </font>
      <fill>
        <patternFill patternType="solid">
          <fgColor rgb="0000BFAE"/>
        </patternFill>
      </fill>
    </dxf>
    <dxf>
      <font>
        <b val="1"/>
        <color rgb="00FFFFFF"/>
      </font>
      <fill>
        <patternFill patternType="solid">
          <fgColor rgb="0000BFFF"/>
        </patternFill>
      </fill>
    </dxf>
    <dxf>
      <font>
        <b val="1"/>
        <color rgb="00FFFFFF"/>
      </font>
      <fill>
        <patternFill patternType="solid">
          <fgColor rgb="004CAF50"/>
        </patternFill>
      </fill>
    </dxf>
    <dxf>
      <font>
        <b val="1"/>
        <color rgb="00FFFFFF"/>
      </font>
      <fill>
        <patternFill patternType="solid">
          <fgColor rgb="008BC34A"/>
        </patternFill>
      </fill>
    </dxf>
    <dxf>
      <font>
        <b val="1"/>
        <color rgb="00FFFFFF"/>
      </font>
      <fill>
        <patternFill patternType="solid">
          <fgColor rgb="00FFB347"/>
        </patternFill>
      </fill>
    </dxf>
    <dxf>
      <font>
        <b val="1"/>
        <color rgb="00FFFFFF"/>
      </font>
      <fill>
        <patternFill patternType="solid">
          <fgColor rgb="00FFC107"/>
        </patternFill>
      </fill>
    </dxf>
    <dxf>
      <font>
        <b val="1"/>
        <color rgb="00FFFFFF"/>
      </font>
      <fill>
        <patternFill patternType="solid">
          <fgColor rgb="00FF9800"/>
        </patternFill>
      </fill>
    </dxf>
    <dxf>
      <font>
        <b val="1"/>
        <color rgb="00FFFFFF"/>
      </font>
      <fill>
        <patternFill patternType="solid">
          <fgColor rgb="00FF5722"/>
        </patternFill>
      </fill>
    </dxf>
    <dxf>
      <font>
        <b val="1"/>
        <color rgb="00FFFFFF"/>
      </font>
      <fill>
        <patternFill patternType="solid">
          <fgColor rgb="00B71C1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Devices per grade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'Stats'!B4</f>
            </strRef>
          </tx>
          <spPr>
            <a:ln>
              <a:prstDash val="solid"/>
            </a:ln>
          </spPr>
          <cat>
            <numRef>
              <f>'Stats'!$A$5:$A$14</f>
            </numRef>
          </cat>
          <val>
            <numRef>
              <f>'Stats'!$B$5:$B$14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Devices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58" customWidth="1" min="7" max="7"/>
    <col width="58" customWidth="1" min="8" max="8"/>
    <col width="58" customWidth="1" min="9" max="9"/>
    <col width="58" customWidth="1" min="10" max="10"/>
    <col width="58" customWidth="1" min="11" max="11"/>
    <col width="58" customWidth="1" min="12" max="12"/>
    <col width="58" customWidth="1" min="13" max="13"/>
    <col width="58" customWidth="1" min="14" max="1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Type</t>
        </is>
      </c>
      <c r="F1" s="1" t="inlineStr">
        <is>
          <t>Tags</t>
        </is>
      </c>
      <c r="G1" s="1" t="inlineStr">
        <is>
          <t>Comment</t>
        </is>
      </c>
      <c r="H1" s="1" t="inlineStr">
        <is>
          <t>Pros</t>
        </is>
      </c>
      <c r="I1" s="1" t="inlineStr">
        <is>
          <t>Cons</t>
        </is>
      </c>
      <c r="J1" s="1" t="inlineStr">
        <is>
          <t>Notes</t>
        </is>
      </c>
      <c r="K1" s="1" t="inlineStr">
        <is>
          <t>Comment_KR</t>
        </is>
      </c>
      <c r="L1" s="1" t="inlineStr">
        <is>
          <t>Pros_KR</t>
        </is>
      </c>
      <c r="M1" s="1" t="inlineStr">
        <is>
          <t>Cons_KR</t>
        </is>
      </c>
      <c r="N1" s="1" t="inlineStr">
        <is>
          <t>Notes_KR</t>
        </is>
      </c>
    </row>
    <row r="2">
      <c r="A2" t="inlineStr">
        <is>
          <t>GrinEar</t>
        </is>
      </c>
      <c r="B2" t="inlineStr">
        <is>
          <t>Reference</t>
        </is>
      </c>
      <c r="C2" t="inlineStr">
        <is>
          <t>S</t>
        </is>
      </c>
      <c r="D2">
        <f>IFERROR(VLOOKUP(C2,Guide!$A$4:$B$13,2,FALSE),"")</f>
        <v/>
      </c>
      <c r="E2" t="inlineStr">
        <is>
          <t>Hybrid</t>
        </is>
      </c>
      <c r="F2" t="inlineStr">
        <is>
          <t>Personal Collection, Reference</t>
        </is>
      </c>
      <c r="G2" s="2" t="inlineStr">
        <is>
          <t>Reference sound with a neutral tilt.</t>
        </is>
      </c>
      <c r="H2" s="2" t="inlineStr">
        <is>
          <t>Even tonality
Excellent detail retrieval</t>
        </is>
      </c>
      <c r="I2" s="2" t="inlineStr">
        <is>
          <t>Fit may be shallow for small ears</t>
        </is>
      </c>
      <c r="J2" s="2" t="inlineStr">
        <is>
          <t>Measured with a stock silicone tip.</t>
        </is>
      </c>
      <c r="K2" s="2" t="inlineStr">
        <is>
          <t>레퍼런스 사운드에 가까운 중립적인 튜닝.</t>
        </is>
      </c>
      <c r="L2" s="2" t="inlineStr">
        <is>
          <t>고른 음색
뛰어난 디테일</t>
        </is>
      </c>
      <c r="M2" s="2" t="inlineStr">
        <is>
          <t>귀가 작으면 착용감이 얕을 수 있음</t>
        </is>
      </c>
      <c r="N2" s="2" t="inlineStr">
        <is>
          <t>기본 실리콘 팁으로 측정했습니다.</t>
        </is>
      </c>
    </row>
    <row r="3">
      <c r="A3" t="inlineStr">
        <is>
          <t>TrueEar</t>
        </is>
      </c>
      <c r="B3" t="inlineStr">
        <is>
          <t>Projekt Wen</t>
        </is>
      </c>
      <c r="C3" t="inlineStr">
        <is>
          <t>A</t>
        </is>
      </c>
      <c r="D3">
        <f>IFERROR(VLOOKUP(C3,Guide!$A$4:$B$13,2,FALSE),"")</f>
        <v/>
      </c>
      <c r="E3" t="inlineStr">
        <is>
          <t>Hybrid</t>
        </is>
      </c>
      <c r="F3" t="inlineStr">
        <is>
          <t>Budget</t>
        </is>
      </c>
      <c r="G3" s="2" t="inlineStr">
        <is>
          <t>Warm and forgiving.</t>
        </is>
      </c>
      <c r="H3" s="2" t="inlineStr">
        <is>
          <t>Smooth treble</t>
        </is>
      </c>
      <c r="I3" s="2" t="inlineStr">
        <is>
          <t>Soft sub-bass</t>
        </is>
      </c>
      <c r="J3" s="2" t="n"/>
      <c r="K3" s="2" t="inlineStr">
        <is>
          <t>따뜻하고 편안한 소리.</t>
        </is>
      </c>
      <c r="L3" s="2" t="inlineStr">
        <is>
          <t>부드러운 고음</t>
        </is>
      </c>
      <c r="M3" s="2" t="inlineStr">
        <is>
          <t>서브베이스가 약함</t>
        </is>
      </c>
      <c r="N3" s="2" t="n"/>
    </row>
    <row r="4">
      <c r="A4" t="inlineStr">
        <is>
          <t>LX</t>
        </is>
      </c>
      <c r="B4" t="inlineStr">
        <is>
          <t>Whatever</t>
        </is>
      </c>
      <c r="C4" t="inlineStr">
        <is>
          <t>F</t>
        </is>
      </c>
      <c r="D4">
        <f>IFERROR(VLOOKUP(C4,Guide!$A$4:$B$13,2,FALSE),"")</f>
        <v/>
      </c>
      <c r="E4" t="inlineStr">
        <is>
          <t>Hybrid</t>
        </is>
      </c>
      <c r="G4" s="2" t="inlineStr">
        <is>
          <t>Not recommended.</t>
        </is>
      </c>
      <c r="H4" s="2" t="n"/>
      <c r="I4" s="2" t="inlineStr">
        <is>
          <t>Peaky upper midrange
Poor build quality</t>
        </is>
      </c>
      <c r="J4" s="2" t="n"/>
      <c r="K4" s="2" t="inlineStr">
        <is>
          <t>추천하지 않습니다.</t>
        </is>
      </c>
      <c r="L4" s="2" t="n"/>
      <c r="M4" s="2" t="inlineStr">
        <is>
          <t>중고음 피크
낮은 빌드 품질</t>
        </is>
      </c>
      <c r="N4" s="2" t="n"/>
    </row>
  </sheetData>
  <autoFilter ref="A1:N4"/>
  <conditionalFormatting sqref="C2:C1000">
    <cfRule type="cellIs" priority="1" operator="equal" dxfId="0">
      <formula>"S"</formula>
    </cfRule>
    <cfRule type="cellIs" priority="2" operator="equal" dxfId="1">
      <formula>"A+"</formula>
    </cfRule>
    <cfRule type="cellIs" priority="3" operator="equal" dxfId="2">
      <formula>"A"</formula>
    </cfRule>
    <cfRule type="cellIs" priority="4" operator="equal" dxfId="3">
      <formula>"B+"</formula>
    </cfRule>
    <cfRule type="cellIs" priority="5" operator="equal" dxfId="4">
      <formula>"B"</formula>
    </cfRule>
    <cfRule type="cellIs" priority="6" operator="equal" dxfId="5">
      <formula>"C+"</formula>
    </cfRule>
    <cfRule type="cellIs" priority="7" operator="equal" dxfId="6">
      <formula>"C"</formula>
    </cfRule>
    <cfRule type="cellIs" priority="8" operator="equal" dxfId="7">
      <formula>"D+"</formula>
    </cfRule>
    <cfRule type="cellIs" priority="9" operator="equal" dxfId="8">
      <formula>"D"</formula>
    </cfRule>
    <cfRule type="cellIs" priority="10" operator="equal" dxfId="9">
      <formula>"F"</formula>
    </cfRule>
  </conditionalFormatting>
  <dataValidations count="1">
    <dataValidation sqref="C2:C1000" showDropDown="0" showInputMessage="0" showErrorMessage="1" allowBlank="1" errorTitle="Not on the scale" error="Pick a value from the list, or add it to the Guide sheet first." type="list">
      <formula1>"S,A+,A,B+,B,C+,C,D+,D,F"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92" customWidth="1" min="1" max="1"/>
    <col width="10" customWidth="1" min="2" max="2"/>
    <col width="12" customWidth="1" min="3" max="3"/>
  </cols>
  <sheetData>
    <row r="1">
      <c r="A1" s="3" t="inlineStr">
        <is>
          <t>Rank scale</t>
        </is>
      </c>
    </row>
    <row r="2">
      <c r="A2" s="4" t="inlineStr">
        <is>
          <t>Best first. Editing this table updates the Score column and the Stats sheet.</t>
        </is>
      </c>
    </row>
    <row r="3">
      <c r="A3" s="5" t="inlineStr">
        <is>
          <t>Value</t>
        </is>
      </c>
      <c r="B3" s="5" t="inlineStr">
        <is>
          <t>Worth</t>
        </is>
      </c>
      <c r="C3" s="5" t="inlineStr">
        <is>
          <t>Color</t>
        </is>
      </c>
    </row>
    <row r="4">
      <c r="A4" t="inlineStr">
        <is>
          <t>S</t>
        </is>
      </c>
      <c r="B4" t="n">
        <v>5</v>
      </c>
      <c r="C4" s="6" t="inlineStr">
        <is>
          <t>#6c63ff</t>
        </is>
      </c>
    </row>
    <row r="5">
      <c r="A5" t="inlineStr">
        <is>
          <t>A+</t>
        </is>
      </c>
      <c r="B5" t="n">
        <v>4.5</v>
      </c>
      <c r="C5" s="7" t="inlineStr">
        <is>
          <t>#00bfae</t>
        </is>
      </c>
    </row>
    <row r="6">
      <c r="A6" t="inlineStr">
        <is>
          <t>A</t>
        </is>
      </c>
      <c r="B6" t="n">
        <v>4</v>
      </c>
      <c r="C6" s="8" t="inlineStr">
        <is>
          <t>#00bfff</t>
        </is>
      </c>
    </row>
    <row r="7">
      <c r="A7" t="inlineStr">
        <is>
          <t>B+</t>
        </is>
      </c>
      <c r="B7" t="n">
        <v>3.5</v>
      </c>
      <c r="C7" s="9" t="inlineStr">
        <is>
          <t>#4caf50</t>
        </is>
      </c>
    </row>
    <row r="8">
      <c r="A8" t="inlineStr">
        <is>
          <t>B</t>
        </is>
      </c>
      <c r="B8" t="n">
        <v>3</v>
      </c>
      <c r="C8" s="10" t="inlineStr">
        <is>
          <t>#8bc34a</t>
        </is>
      </c>
    </row>
    <row r="9">
      <c r="A9" t="inlineStr">
        <is>
          <t>C+</t>
        </is>
      </c>
      <c r="B9" t="n">
        <v>2.5</v>
      </c>
      <c r="C9" s="11" t="inlineStr">
        <is>
          <t>#ffb347</t>
        </is>
      </c>
    </row>
    <row r="10">
      <c r="A10" t="inlineStr">
        <is>
          <t>C</t>
        </is>
      </c>
      <c r="B10" t="n">
        <v>2</v>
      </c>
      <c r="C10" s="12" t="inlineStr">
        <is>
          <t>#ffc107</t>
        </is>
      </c>
    </row>
    <row r="11">
      <c r="A11" t="inlineStr">
        <is>
          <t>D+</t>
        </is>
      </c>
      <c r="B11" t="n">
        <v>1.5</v>
      </c>
      <c r="C11" s="13" t="inlineStr">
        <is>
          <t>#ff9800</t>
        </is>
      </c>
    </row>
    <row r="12">
      <c r="A12" t="inlineStr">
        <is>
          <t>D</t>
        </is>
      </c>
      <c r="B12" t="n">
        <v>1</v>
      </c>
      <c r="C12" s="14" t="inlineStr">
        <is>
          <t>#ff5722</t>
        </is>
      </c>
    </row>
    <row r="13">
      <c r="A13" t="inlineStr">
        <is>
          <t>F</t>
        </is>
      </c>
      <c r="B13" t="n">
        <v>0</v>
      </c>
      <c r="C13" s="15" t="inlineStr">
        <is>
          <t>#b71c1c</t>
        </is>
      </c>
    </row>
    <row r="15">
      <c r="A15" s="3" t="inlineStr">
        <is>
          <t>How to write a review</t>
        </is>
      </c>
    </row>
    <row r="16"/>
    <row r="17">
      <c r="A17" t="inlineStr">
        <is>
          <t>Every part of a review has its own column. There is no markup to learn:</t>
        </is>
      </c>
    </row>
    <row r="18">
      <c r="A18" t="inlineStr">
        <is>
          <t>type into the column you want and leave the rest blank.</t>
        </is>
      </c>
    </row>
    <row r="19"/>
    <row r="20">
      <c r="A20" t="inlineStr">
        <is>
          <t>Brand — Maker. Half of the card heading.</t>
        </is>
      </c>
    </row>
    <row r="21">
      <c r="A21" t="inlineStr">
        <is>
          <t>Model — Model name. The other half.</t>
        </is>
      </c>
    </row>
    <row r="22">
      <c r="A22" t="inlineStr">
        <is>
          <t>Rank — One of the values in the scale table above.</t>
        </is>
      </c>
    </row>
    <row r="23">
      <c r="A23" t="inlineStr">
        <is>
          <t>Score — Filled in by formula from the scale. Overwrite it to score by hand.</t>
        </is>
      </c>
    </row>
    <row r="24">
      <c r="A24" t="inlineStr">
        <is>
          <t>Type — Hybrid, DD, BA, planar. Becomes a chip and a filter.</t>
        </is>
      </c>
    </row>
    <row r="25">
      <c r="A25" t="inlineStr">
        <is>
          <t>Tags — Comma separated. Shown as pills, and searchable.</t>
        </is>
      </c>
    </row>
    <row r="26">
      <c r="A26" t="inlineStr">
        <is>
          <t>Comment — The main paragraph.</t>
        </is>
      </c>
    </row>
    <row r="27">
      <c r="A27" t="inlineStr">
        <is>
          <t>Pros — A green block. Alt+Enter for one point per line.</t>
        </is>
      </c>
    </row>
    <row r="28">
      <c r="A28" t="inlineStr">
        <is>
          <t>Cons — A red block. Alt+Enter for one point per line.</t>
        </is>
      </c>
    </row>
    <row r="29">
      <c r="A29" t="inlineStr">
        <is>
          <t>Notes — A muted block, for caveats and measurement remarks.</t>
        </is>
      </c>
    </row>
    <row r="30">
      <c r="A30" t="inlineStr">
        <is>
          <t>Comment_KR — Korean text for Comment. Blank falls back to English.</t>
        </is>
      </c>
    </row>
    <row r="31">
      <c r="A31" t="inlineStr">
        <is>
          <t>Pros_KR — Korean text for Pros. Blank falls back to English.</t>
        </is>
      </c>
    </row>
    <row r="32">
      <c r="A32" t="inlineStr">
        <is>
          <t>Cons_KR — Korean text for Cons. Blank falls back to English.</t>
        </is>
      </c>
    </row>
    <row r="33">
      <c r="A33" t="inlineStr">
        <is>
          <t>Notes_KR — Korean text for Notes. Blank falls back to English.</t>
        </is>
      </c>
    </row>
    <row r="34"/>
    <row r="35">
      <c r="A35" t="inlineStr">
        <is>
          <t>Line breaks inside a cell are kept. Use Alt+Enter (Option+Enter on a Mac).</t>
        </is>
      </c>
    </row>
    <row r="36"/>
    <row r="37">
      <c r="A37" s="3" t="inlineStr">
        <is>
          <t>Publishing this sheet for the page</t>
        </is>
      </c>
    </row>
    <row r="38"/>
    <row r="39">
      <c r="A39" t="inlineStr">
        <is>
          <t>1. File - Share - Publish to web</t>
        </is>
      </c>
    </row>
    <row r="40">
      <c r="A40" t="inlineStr">
        <is>
          <t>2. In the Link tab, choose this sheet and 'Comma-separated values (.csv)'</t>
        </is>
      </c>
    </row>
    <row r="41">
      <c r="A41" t="inlineStr">
        <is>
          <t>3. Publish, then copy the URL it gives you</t>
        </is>
      </c>
    </row>
    <row r="42">
      <c r="A42" t="inlineStr">
        <is>
          <t>4. Paste it into ranking-config.js as source.url</t>
        </is>
      </c>
    </row>
    <row r="43"/>
    <row r="44">
      <c r="A44" t="inlineStr">
        <is>
          <t>Do not rename the header row: ranking-config.js looks the columns up by name.</t>
        </is>
      </c>
    </row>
    <row r="45"/>
    <row r="46">
      <c r="A46" t="inlineStr">
        <is>
          <t>Full guide: https://potatosalad775.github.io/squigRanking/docs/setup/your-sheet/</t>
        </is>
      </c>
    </row>
    <row r="47">
      <c r="A47" t="inlineStr">
        <is>
          <t>Build a config from a form: https://potatosalad775.github.io/squigRanking/docs/config-editor/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3" t="inlineStr">
        <is>
          <t>How the list breaks down</t>
        </is>
      </c>
    </row>
    <row r="2">
      <c r="A2" s="4" t="inlineStr">
        <is>
          <t>Counts update as you fill in the List sheet.</t>
        </is>
      </c>
    </row>
    <row r="4">
      <c r="A4" s="5" t="inlineStr">
        <is>
          <t>Rank</t>
        </is>
      </c>
      <c r="B4" s="5" t="inlineStr">
        <is>
          <t>Devices</t>
        </is>
      </c>
    </row>
    <row r="5">
      <c r="A5">
        <f>Guide!A4</f>
        <v/>
      </c>
      <c r="B5">
        <f>COUNTIF(List!$C$2:$C$1000,A5)</f>
        <v/>
      </c>
    </row>
    <row r="6">
      <c r="A6">
        <f>Guide!A5</f>
        <v/>
      </c>
      <c r="B6">
        <f>COUNTIF(List!$C$2:$C$1000,A6)</f>
        <v/>
      </c>
    </row>
    <row r="7">
      <c r="A7">
        <f>Guide!A6</f>
        <v/>
      </c>
      <c r="B7">
        <f>COUNTIF(List!$C$2:$C$1000,A7)</f>
        <v/>
      </c>
    </row>
    <row r="8">
      <c r="A8">
        <f>Guide!A7</f>
        <v/>
      </c>
      <c r="B8">
        <f>COUNTIF(List!$C$2:$C$1000,A8)</f>
        <v/>
      </c>
    </row>
    <row r="9">
      <c r="A9">
        <f>Guide!A8</f>
        <v/>
      </c>
      <c r="B9">
        <f>COUNTIF(List!$C$2:$C$1000,A9)</f>
        <v/>
      </c>
    </row>
    <row r="10">
      <c r="A10">
        <f>Guide!A9</f>
        <v/>
      </c>
      <c r="B10">
        <f>COUNTIF(List!$C$2:$C$1000,A10)</f>
        <v/>
      </c>
    </row>
    <row r="11">
      <c r="A11">
        <f>Guide!A10</f>
        <v/>
      </c>
      <c r="B11">
        <f>COUNTIF(List!$C$2:$C$1000,A11)</f>
        <v/>
      </c>
    </row>
    <row r="12">
      <c r="A12">
        <f>Guide!A11</f>
        <v/>
      </c>
      <c r="B12">
        <f>COUNTIF(List!$C$2:$C$1000,A12)</f>
        <v/>
      </c>
    </row>
    <row r="13">
      <c r="A13">
        <f>Guide!A12</f>
        <v/>
      </c>
      <c r="B13">
        <f>COUNTIF(List!$C$2:$C$1000,A13)</f>
        <v/>
      </c>
    </row>
    <row r="14">
      <c r="A14">
        <f>Guide!A13</f>
        <v/>
      </c>
      <c r="B14">
        <f>COUNTIF(List!$C$2:$C$1000,A14)</f>
        <v/>
      </c>
    </row>
    <row r="16">
      <c r="A16" s="16" t="inlineStr">
        <is>
          <t>Total</t>
        </is>
      </c>
      <c r="B16" s="16">
        <f>SUM(B5:B14)</f>
        <v/>
      </c>
    </row>
    <row r="17">
      <c r="A17" s="16" t="inlineStr">
        <is>
          <t>Average</t>
        </is>
      </c>
      <c r="B17" s="16">
        <f>IFERROR(SUMPRODUCT(B5:B14,Guide!B4:B13)/SUM(B5:B14),"")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2026-09-08T06:54:55Z</dcterms:created>
  <dcterms:modified xsi:type="dcterms:W3CDTF">2026-09-08T06:54:55Z</dcterms:modified>
</cp:coreProperties>
</file>